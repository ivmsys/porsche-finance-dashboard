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juegos\"/>
    </mc:Choice>
  </mc:AlternateContent>
  <xr:revisionPtr revIDLastSave="0" documentId="13_ncr:1_{96E4E7F4-ED8F-4669-BECF-BBF159947F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General" sheetId="1" r:id="rId1"/>
    <sheet name="Estado de Resultados" sheetId="2" r:id="rId2"/>
    <sheet name="Análisis Horizontal" sheetId="3" r:id="rId3"/>
    <sheet name="Análisis Vertical" sheetId="4" r:id="rId4"/>
    <sheet name="Razones Financier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  <c r="N34" i="1"/>
  <c r="M34" i="1"/>
  <c r="I45" i="1"/>
  <c r="J45" i="1"/>
  <c r="H45" i="1"/>
  <c r="D50" i="1"/>
  <c r="C50" i="1"/>
  <c r="B50" i="1"/>
</calcChain>
</file>

<file path=xl/sharedStrings.xml><?xml version="1.0" encoding="utf-8"?>
<sst xmlns="http://schemas.openxmlformats.org/spreadsheetml/2006/main" count="180" uniqueCount="128">
  <si>
    <t>BALANCE GENERAL CONSOLIDADO - PORSCHE AG</t>
  </si>
  <si>
    <t>En millones de euros (€)</t>
  </si>
  <si>
    <t>Concepto</t>
  </si>
  <si>
    <t>31 Dic 2024</t>
  </si>
  <si>
    <t>31 Dic 2023</t>
  </si>
  <si>
    <t>31 Dic 2022</t>
  </si>
  <si>
    <t>ACTIVOS</t>
  </si>
  <si>
    <t>Activos circulantes</t>
  </si>
  <si>
    <t>Activos fijos</t>
  </si>
  <si>
    <t>Otros activos</t>
  </si>
  <si>
    <t>TOTAL ACTIVOS</t>
  </si>
  <si>
    <t>PASIVOS Y CAPITAL</t>
  </si>
  <si>
    <t>Pasivo a corto plazo</t>
  </si>
  <si>
    <t>Pasivo a largo plazo</t>
  </si>
  <si>
    <t>TOTAL PASIVOS</t>
  </si>
  <si>
    <t>Capital</t>
  </si>
  <si>
    <t>TOTAL PASIVOS Y CAPITAL</t>
  </si>
  <si>
    <t>ESTADO DE RESULTADOS CONSOLIDADO - PORSCHE AG</t>
  </si>
  <si>
    <t>2024</t>
  </si>
  <si>
    <t>2023</t>
  </si>
  <si>
    <t>2022</t>
  </si>
  <si>
    <t>Ingresos por ventas</t>
  </si>
  <si>
    <t>Costo de ventas</t>
  </si>
  <si>
    <t>UTILIDAD BRUTA</t>
  </si>
  <si>
    <t>Gastos de distribución</t>
  </si>
  <si>
    <t>Gastos administrativos</t>
  </si>
  <si>
    <t>Otros ingresos operativos</t>
  </si>
  <si>
    <t>Otros gastos operativos</t>
  </si>
  <si>
    <t>UTILIDAD OPERATIVA</t>
  </si>
  <si>
    <t>RESULTADO FINANCIERO</t>
  </si>
  <si>
    <t>Participación en utilidad/pérdida de inversiones asociadas</t>
  </si>
  <si>
    <t>Ingresos por intereses</t>
  </si>
  <si>
    <t>Gastos por intereses</t>
  </si>
  <si>
    <t>Otro resultado financiero</t>
  </si>
  <si>
    <t>Resultado financiero total</t>
  </si>
  <si>
    <t>UTILIDAD ANTES DE IMPUESTOS</t>
  </si>
  <si>
    <t>Gasto por impuestos</t>
  </si>
  <si>
    <t>UTILIDAD NETA DESPUÉS DE IMPUESTOS</t>
  </si>
  <si>
    <t>Atribuible a:</t>
  </si>
  <si>
    <t xml:space="preserve">  Accionistas</t>
  </si>
  <si>
    <t xml:space="preserve">  Intereses no controladores</t>
  </si>
  <si>
    <t>ANÁLISIS HORIZONTAL - PORSCHE AG</t>
  </si>
  <si>
    <t>Cambios porcentuales año tras año</t>
  </si>
  <si>
    <t>BALANCE GENERAL</t>
  </si>
  <si>
    <t>Cambio 2023-2022 (%)</t>
  </si>
  <si>
    <t>Cambio 2024-2023 (%)</t>
  </si>
  <si>
    <t>Total activos</t>
  </si>
  <si>
    <t>ESTADO DE RESULTADOS</t>
  </si>
  <si>
    <t>Utilidad bruta</t>
  </si>
  <si>
    <t>Utilidad operativa</t>
  </si>
  <si>
    <t>Participación en asociadas</t>
  </si>
  <si>
    <t>Resultado financiero</t>
  </si>
  <si>
    <t>Utilidad neta</t>
  </si>
  <si>
    <t>ANÁLISIS VERTICAL - PORSCHE AG</t>
  </si>
  <si>
    <t>Porcentajes relativos</t>
  </si>
  <si>
    <t>BALANCE GENERAL (% del Total de Activos)</t>
  </si>
  <si>
    <t>2024 (%)</t>
  </si>
  <si>
    <t>2023 (%)</t>
  </si>
  <si>
    <t>2022 (%)</t>
  </si>
  <si>
    <t>ESTADO DE RESULTADOS (% de Ingresos por Ventas)</t>
  </si>
  <si>
    <t>RAZONES FINANCIERAS - PORSCHE AG</t>
  </si>
  <si>
    <t>Indicadores clave de desempeño financiero</t>
  </si>
  <si>
    <t>Razón Financiera</t>
  </si>
  <si>
    <t>Fórmula</t>
  </si>
  <si>
    <t>RATIOS DE LIQUIDEZ</t>
  </si>
  <si>
    <t>Liquidez corriente</t>
  </si>
  <si>
    <t>Activos circulantes / Pasivo a corto plazo</t>
  </si>
  <si>
    <t>Liquidez rápida</t>
  </si>
  <si>
    <t>(Act. circulantes - Inventarios) / Pas. corto plazo</t>
  </si>
  <si>
    <t>RATIOS DE RENTABILIDAD</t>
  </si>
  <si>
    <t>Margen bruto</t>
  </si>
  <si>
    <t>Utilidad bruta / Ingresos por ventas</t>
  </si>
  <si>
    <t>Margen operativo</t>
  </si>
  <si>
    <t>Utilidad operativa / Ingresos por ventas</t>
  </si>
  <si>
    <t>Margen neto</t>
  </si>
  <si>
    <t>Utilidad neta / Ingresos por ventas</t>
  </si>
  <si>
    <t>ROA (Retorno sobre activos)</t>
  </si>
  <si>
    <t>Utilidad neta / Activos totales promedio</t>
  </si>
  <si>
    <t>ROE (Retorno sobre capital)</t>
  </si>
  <si>
    <t>Utilidad neta / Capital promedio</t>
  </si>
  <si>
    <t>RATIOS DE APALANCAMIENTO</t>
  </si>
  <si>
    <t>Deuda a capital</t>
  </si>
  <si>
    <t>(Pasivo CP + Pasivo LP) / Capital</t>
  </si>
  <si>
    <t>Tenemos que pasarlo a millones de pesos</t>
  </si>
  <si>
    <t xml:space="preserve">Correcion de los conceptos </t>
  </si>
  <si>
    <t>ACTIVOS CIRCULANTES</t>
  </si>
  <si>
    <t>Cuentas por cobrar fiscales</t>
  </si>
  <si>
    <t>Valores y depósitos a plazo</t>
  </si>
  <si>
    <t>Efectivo y equivalentes</t>
  </si>
  <si>
    <t>Activos mantenidos para la venta</t>
  </si>
  <si>
    <t>ACTIVOS FIJOS</t>
  </si>
  <si>
    <t>Activos intangibles (desarrollo capitalizado, goodwill, otros)</t>
  </si>
  <si>
    <t>Propiedad, planta y equipo</t>
  </si>
  <si>
    <t>Activos arrendados (principalmente vehículos)</t>
  </si>
  <si>
    <t xml:space="preserve">Inventarios </t>
  </si>
  <si>
    <t xml:space="preserve">Cuentas por cobrar comerciales </t>
  </si>
  <si>
    <t xml:space="preserve">Cuentas por cobrar servicios financieros </t>
  </si>
  <si>
    <t xml:space="preserve">Otros activos financieros </t>
  </si>
  <si>
    <t xml:space="preserve">Otros receivables </t>
  </si>
  <si>
    <t>OTROS ACTIVOS</t>
  </si>
  <si>
    <t>Inversiones equity-accounted (asociadas y joint ventures)</t>
  </si>
  <si>
    <t>Otras inversiones equity</t>
  </si>
  <si>
    <t>Cuentas por cobrar servicios financieros (no corrientes)</t>
  </si>
  <si>
    <t>Otros activos financieros (derivados, efectivo restringido)</t>
  </si>
  <si>
    <t>Otros receivables (misceláneos, gastos prepagados)</t>
  </si>
  <si>
    <t>Activos fiscales diferidos</t>
  </si>
  <si>
    <t>PASIVOS A CORTO PLAZO</t>
  </si>
  <si>
    <t>Provisiones por impuestos</t>
  </si>
  <si>
    <t>Otras provisiones (ventas, empleados, litigios)</t>
  </si>
  <si>
    <t>Pasivos financieros (ABS, bonos, bancos, arrendamientos)</t>
  </si>
  <si>
    <t>Cuentas por pagar comerciales</t>
  </si>
  <si>
    <t>Otros pasivos financieros (derivados negativos, intereses)</t>
  </si>
  <si>
    <t>Otros pasivos (avances, impuestos, salarios)</t>
  </si>
  <si>
    <t>Pasivos fiscales</t>
  </si>
  <si>
    <t>Pasivos asociados con activos en venta</t>
  </si>
  <si>
    <t>PASIVOS A LARGO PLAZO</t>
  </si>
  <si>
    <t>Provisiones por pensiones y obligaciones similares</t>
  </si>
  <si>
    <t>Pasivos fiscales diferidos</t>
  </si>
  <si>
    <t>Otros pasivos financieros (derivados negativos)</t>
  </si>
  <si>
    <t>Otros pasivos (avances, impuestos, diferidos)</t>
  </si>
  <si>
    <t>CAPITAL (PATRIMONIO)</t>
  </si>
  <si>
    <t>Capital suscrito (acciones ordinarias/preferidas)</t>
  </si>
  <si>
    <t>Reservas de capital</t>
  </si>
  <si>
    <t>Ganancias retenidas (incluyendo reservas por pensiones)</t>
  </si>
  <si>
    <t>Otras reservas (traducción, coberturas, instrumentos)</t>
  </si>
  <si>
    <t>Patrimonio atribuible a accionistas de Porsche AG</t>
  </si>
  <si>
    <t>Intereses no controladores</t>
  </si>
  <si>
    <t xml:space="preserve">Precio de euro al dia de hoy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</si>
</sst>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name val="Calibri"/>
    </font>
    <font>
      <b/>
      <sz val="12"/>
      <name val="Calibri"/>
    </font>
    <font>
      <sz val="10"/>
      <name val="Calibri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b/>
      <sz val="10"/>
      <color rgb="FF1F4E78"/>
      <name val="Calibri"/>
      <family val="2"/>
    </font>
    <font>
      <sz val="10"/>
      <color rgb="FF44546A"/>
      <name val="Calibri"/>
      <family val="2"/>
    </font>
    <font>
      <i/>
      <sz val="10"/>
      <color rgb="FF44546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Border="1"/>
    <xf numFmtId="0" fontId="0" fillId="0" borderId="1" xfId="0" applyBorder="1" applyAlignment="1">
      <alignment indent="2"/>
    </xf>
    <xf numFmtId="0" fontId="7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15" fontId="0" fillId="0" borderId="0" xfId="0" applyNumberFormat="1"/>
    <xf numFmtId="0" fontId="8" fillId="5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/>
    </xf>
    <xf numFmtId="3" fontId="10" fillId="3" borderId="2" xfId="0" applyNumberFormat="1" applyFont="1" applyFill="1" applyBorder="1" applyAlignment="1">
      <alignment horizontal="right" vertical="center"/>
    </xf>
    <xf numFmtId="0" fontId="11" fillId="6" borderId="2" xfId="0" applyFont="1" applyFill="1" applyBorder="1" applyAlignment="1">
      <alignment horizontal="left" vertical="center" indent="2"/>
    </xf>
    <xf numFmtId="3" fontId="11" fillId="6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/>
    </xf>
    <xf numFmtId="3" fontId="9" fillId="7" borderId="2" xfId="0" applyNumberFormat="1" applyFont="1" applyFill="1" applyBorder="1" applyAlignment="1">
      <alignment horizontal="right" vertical="center"/>
    </xf>
    <xf numFmtId="0" fontId="12" fillId="0" borderId="2" xfId="0" applyFont="1" applyBorder="1" applyAlignment="1">
      <alignment horizontal="left" vertical="center" indent="3"/>
    </xf>
    <xf numFmtId="3" fontId="12" fillId="0" borderId="2" xfId="0" applyNumberFormat="1" applyFont="1" applyBorder="1" applyAlignment="1">
      <alignment horizontal="right" vertical="center"/>
    </xf>
    <xf numFmtId="2" fontId="0" fillId="0" borderId="3" xfId="0" applyNumberFormat="1" applyBorder="1"/>
    <xf numFmtId="0" fontId="1" fillId="0" borderId="0" xfId="0" applyFont="1"/>
    <xf numFmtId="0" fontId="0" fillId="0" borderId="0" xfId="0"/>
    <xf numFmtId="0" fontId="2" fillId="0" borderId="0" xfId="0" applyFont="1"/>
    <xf numFmtId="0" fontId="6" fillId="0" borderId="0" xfId="0" applyFont="1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topLeftCell="A19" workbookViewId="0">
      <selection activeCell="F42" sqref="F42"/>
    </sheetView>
  </sheetViews>
  <sheetFormatPr baseColWidth="10" defaultColWidth="8.7109375" defaultRowHeight="15" x14ac:dyDescent="0.25"/>
  <cols>
    <col min="1" max="1" width="57.85546875" customWidth="1"/>
    <col min="2" max="4" width="15" customWidth="1"/>
    <col min="7" max="7" width="50.85546875" customWidth="1"/>
    <col min="8" max="8" width="12.42578125" customWidth="1"/>
    <col min="9" max="9" width="12.28515625" customWidth="1"/>
    <col min="10" max="10" width="13.28515625" customWidth="1"/>
    <col min="12" max="12" width="47.140625" customWidth="1"/>
    <col min="13" max="13" width="12.5703125" customWidth="1"/>
    <col min="14" max="14" width="11.85546875" customWidth="1"/>
    <col min="15" max="15" width="11.28515625" customWidth="1"/>
  </cols>
  <sheetData>
    <row r="1" spans="1:6" ht="18.75" x14ac:dyDescent="0.3">
      <c r="A1" s="23" t="s">
        <v>0</v>
      </c>
      <c r="B1" s="24"/>
      <c r="C1" s="24"/>
      <c r="D1" s="24"/>
    </row>
    <row r="2" spans="1:6" x14ac:dyDescent="0.25">
      <c r="A2" s="25" t="s">
        <v>1</v>
      </c>
      <c r="B2" s="24"/>
      <c r="C2" s="24"/>
      <c r="D2" s="24"/>
      <c r="F2" t="s">
        <v>83</v>
      </c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6" x14ac:dyDescent="0.25">
      <c r="A5" s="2" t="s">
        <v>6</v>
      </c>
      <c r="B5" s="3"/>
      <c r="C5" s="3"/>
      <c r="D5" s="3"/>
      <c r="F5" t="s">
        <v>127</v>
      </c>
    </row>
    <row r="6" spans="1:6" x14ac:dyDescent="0.25">
      <c r="A6" s="3" t="s">
        <v>7</v>
      </c>
      <c r="B6" s="4">
        <v>20288</v>
      </c>
      <c r="C6" s="4">
        <v>20040</v>
      </c>
      <c r="D6" s="4">
        <v>20154</v>
      </c>
      <c r="F6" s="22">
        <v>21.5</v>
      </c>
    </row>
    <row r="7" spans="1:6" x14ac:dyDescent="0.25">
      <c r="A7" s="3" t="s">
        <v>8</v>
      </c>
      <c r="B7" s="4">
        <v>24382</v>
      </c>
      <c r="C7" s="4">
        <v>22138</v>
      </c>
      <c r="D7" s="4">
        <v>20251</v>
      </c>
    </row>
    <row r="8" spans="1:6" x14ac:dyDescent="0.25">
      <c r="A8" s="3" t="s">
        <v>9</v>
      </c>
      <c r="B8" s="4">
        <v>8857</v>
      </c>
      <c r="C8" s="4">
        <v>8269</v>
      </c>
      <c r="D8" s="4">
        <v>7237</v>
      </c>
    </row>
    <row r="9" spans="1:6" x14ac:dyDescent="0.25">
      <c r="A9" s="5" t="s">
        <v>10</v>
      </c>
      <c r="B9" s="6">
        <v>53527</v>
      </c>
      <c r="C9" s="6">
        <v>50447</v>
      </c>
      <c r="D9" s="6">
        <v>47642</v>
      </c>
    </row>
    <row r="10" spans="1:6" x14ac:dyDescent="0.25">
      <c r="A10" s="3"/>
      <c r="B10" s="3"/>
      <c r="C10" s="3"/>
      <c r="D10" s="3"/>
    </row>
    <row r="11" spans="1:6" x14ac:dyDescent="0.25">
      <c r="A11" s="2" t="s">
        <v>11</v>
      </c>
      <c r="B11" s="3"/>
      <c r="C11" s="3"/>
      <c r="D11" s="3"/>
    </row>
    <row r="12" spans="1:6" x14ac:dyDescent="0.25">
      <c r="A12" s="3" t="s">
        <v>12</v>
      </c>
      <c r="B12" s="4">
        <v>14343</v>
      </c>
      <c r="C12" s="4">
        <v>13567</v>
      </c>
      <c r="D12" s="4">
        <v>16579</v>
      </c>
    </row>
    <row r="13" spans="1:6" x14ac:dyDescent="0.25">
      <c r="A13" s="3" t="s">
        <v>13</v>
      </c>
      <c r="B13" s="4">
        <v>16128</v>
      </c>
      <c r="C13" s="4">
        <v>15211</v>
      </c>
      <c r="D13" s="4">
        <v>14027</v>
      </c>
    </row>
    <row r="14" spans="1:6" x14ac:dyDescent="0.25">
      <c r="A14" s="5" t="s">
        <v>14</v>
      </c>
      <c r="B14" s="6">
        <v>30471</v>
      </c>
      <c r="C14" s="6">
        <v>28778</v>
      </c>
      <c r="D14" s="6">
        <v>30606</v>
      </c>
    </row>
    <row r="15" spans="1:6" x14ac:dyDescent="0.25">
      <c r="A15" s="3"/>
      <c r="B15" s="3"/>
      <c r="C15" s="3"/>
      <c r="D15" s="3"/>
    </row>
    <row r="16" spans="1:6" x14ac:dyDescent="0.25">
      <c r="A16" s="3" t="s">
        <v>15</v>
      </c>
      <c r="B16" s="4">
        <v>23056</v>
      </c>
      <c r="C16" s="4">
        <v>21668</v>
      </c>
      <c r="D16" s="4">
        <v>17035</v>
      </c>
    </row>
    <row r="17" spans="1:15" x14ac:dyDescent="0.25">
      <c r="A17" s="3"/>
      <c r="B17" s="3"/>
      <c r="C17" s="3"/>
      <c r="D17" s="3"/>
    </row>
    <row r="18" spans="1:15" x14ac:dyDescent="0.25">
      <c r="A18" s="5" t="s">
        <v>16</v>
      </c>
      <c r="B18" s="6">
        <v>53527</v>
      </c>
      <c r="C18" s="6">
        <v>50447</v>
      </c>
      <c r="D18" s="6">
        <v>47642</v>
      </c>
    </row>
    <row r="22" spans="1:15" x14ac:dyDescent="0.25">
      <c r="A22" t="s">
        <v>84</v>
      </c>
    </row>
    <row r="24" spans="1:15" ht="11.1" customHeight="1" x14ac:dyDescent="0.25">
      <c r="B24" s="12"/>
      <c r="C24" s="12"/>
      <c r="D24" s="12"/>
    </row>
    <row r="25" spans="1:15" ht="15.95" customHeight="1" x14ac:dyDescent="0.25">
      <c r="A25" s="13" t="s">
        <v>2</v>
      </c>
      <c r="B25" s="13" t="s">
        <v>3</v>
      </c>
      <c r="C25" s="13" t="s">
        <v>4</v>
      </c>
      <c r="D25" s="13" t="s">
        <v>5</v>
      </c>
      <c r="G25" s="13" t="s">
        <v>2</v>
      </c>
      <c r="H25" s="13" t="s">
        <v>3</v>
      </c>
      <c r="I25" s="13" t="s">
        <v>4</v>
      </c>
      <c r="J25" s="13" t="s">
        <v>5</v>
      </c>
      <c r="L25" s="13" t="s">
        <v>2</v>
      </c>
      <c r="M25" s="13" t="s">
        <v>3</v>
      </c>
      <c r="N25" s="13" t="s">
        <v>4</v>
      </c>
      <c r="O25" s="13" t="s">
        <v>5</v>
      </c>
    </row>
    <row r="26" spans="1:15" x14ac:dyDescent="0.25">
      <c r="A26" s="14" t="s">
        <v>85</v>
      </c>
      <c r="B26" s="15">
        <v>20288</v>
      </c>
      <c r="C26" s="15">
        <v>20040</v>
      </c>
      <c r="D26" s="15">
        <v>20186</v>
      </c>
      <c r="G26" s="14" t="s">
        <v>106</v>
      </c>
      <c r="H26" s="15">
        <v>14343</v>
      </c>
      <c r="I26" s="15">
        <v>13567</v>
      </c>
      <c r="J26" s="15">
        <v>16613</v>
      </c>
      <c r="L26" s="14" t="s">
        <v>120</v>
      </c>
      <c r="M26" s="15">
        <v>23056</v>
      </c>
      <c r="N26" s="15">
        <v>21668</v>
      </c>
      <c r="O26" s="15">
        <v>17027</v>
      </c>
    </row>
    <row r="27" spans="1:15" x14ac:dyDescent="0.25">
      <c r="A27" s="16" t="s">
        <v>94</v>
      </c>
      <c r="B27" s="17">
        <v>6130</v>
      </c>
      <c r="C27" s="17">
        <v>5947</v>
      </c>
      <c r="D27" s="17">
        <v>5504</v>
      </c>
      <c r="G27" s="16" t="s">
        <v>107</v>
      </c>
      <c r="H27" s="17">
        <v>195</v>
      </c>
      <c r="I27" s="17">
        <v>170</v>
      </c>
      <c r="J27" s="17">
        <v>167</v>
      </c>
      <c r="L27" s="16" t="s">
        <v>121</v>
      </c>
      <c r="M27" s="17">
        <v>911</v>
      </c>
      <c r="N27" s="17">
        <v>911</v>
      </c>
      <c r="O27" s="17">
        <v>911</v>
      </c>
    </row>
    <row r="28" spans="1:15" x14ac:dyDescent="0.25">
      <c r="A28" s="16" t="s">
        <v>95</v>
      </c>
      <c r="B28" s="17">
        <v>1340</v>
      </c>
      <c r="C28" s="17">
        <v>1449</v>
      </c>
      <c r="D28" s="17">
        <v>1290</v>
      </c>
      <c r="G28" s="16" t="s">
        <v>108</v>
      </c>
      <c r="H28" s="17">
        <v>3438</v>
      </c>
      <c r="I28" s="17">
        <v>3200</v>
      </c>
      <c r="J28" s="17">
        <v>2812</v>
      </c>
      <c r="L28" s="16" t="s">
        <v>122</v>
      </c>
      <c r="M28" s="17">
        <v>3822</v>
      </c>
      <c r="N28" s="17">
        <v>3822</v>
      </c>
      <c r="O28" s="17">
        <v>3822</v>
      </c>
    </row>
    <row r="29" spans="1:15" x14ac:dyDescent="0.25">
      <c r="A29" s="16" t="s">
        <v>96</v>
      </c>
      <c r="B29" s="17">
        <v>1808</v>
      </c>
      <c r="C29" s="17">
        <v>1669</v>
      </c>
      <c r="D29" s="17">
        <v>1538</v>
      </c>
      <c r="G29" s="16" t="s">
        <v>109</v>
      </c>
      <c r="H29" s="17">
        <v>4253</v>
      </c>
      <c r="I29" s="17">
        <v>3880</v>
      </c>
      <c r="J29" s="17">
        <v>3464</v>
      </c>
      <c r="L29" s="16" t="s">
        <v>123</v>
      </c>
      <c r="M29" s="17">
        <v>17993</v>
      </c>
      <c r="N29" s="17">
        <v>16500</v>
      </c>
      <c r="O29" s="17">
        <v>12387</v>
      </c>
    </row>
    <row r="30" spans="1:15" x14ac:dyDescent="0.25">
      <c r="A30" s="16" t="s">
        <v>97</v>
      </c>
      <c r="B30" s="17">
        <v>1236</v>
      </c>
      <c r="C30" s="17">
        <v>2010</v>
      </c>
      <c r="D30" s="17">
        <v>5493</v>
      </c>
      <c r="G30" s="16" t="s">
        <v>110</v>
      </c>
      <c r="H30" s="17">
        <v>3378</v>
      </c>
      <c r="I30" s="17">
        <v>3490</v>
      </c>
      <c r="J30" s="17">
        <v>2899</v>
      </c>
      <c r="L30" s="16" t="s">
        <v>124</v>
      </c>
      <c r="M30" s="17">
        <v>317</v>
      </c>
      <c r="N30" s="17">
        <v>400</v>
      </c>
      <c r="O30" s="17">
        <v>-101</v>
      </c>
    </row>
    <row r="31" spans="1:15" x14ac:dyDescent="0.25">
      <c r="A31" s="16" t="s">
        <v>98</v>
      </c>
      <c r="B31" s="17">
        <v>1136</v>
      </c>
      <c r="C31" s="17">
        <v>1079</v>
      </c>
      <c r="D31" s="17">
        <v>728</v>
      </c>
      <c r="G31" s="16" t="s">
        <v>111</v>
      </c>
      <c r="H31" s="17">
        <v>1153</v>
      </c>
      <c r="I31" s="17">
        <v>1050</v>
      </c>
      <c r="J31" s="17">
        <v>5287</v>
      </c>
      <c r="L31" s="20" t="s">
        <v>125</v>
      </c>
      <c r="M31" s="21">
        <v>23043</v>
      </c>
      <c r="N31" s="21">
        <v>21633</v>
      </c>
      <c r="O31" s="21">
        <v>17019</v>
      </c>
    </row>
    <row r="32" spans="1:15" x14ac:dyDescent="0.25">
      <c r="A32" s="16" t="s">
        <v>86</v>
      </c>
      <c r="B32" s="17">
        <v>289</v>
      </c>
      <c r="C32" s="17">
        <v>235</v>
      </c>
      <c r="D32" s="17">
        <v>87</v>
      </c>
      <c r="G32" s="16" t="s">
        <v>112</v>
      </c>
      <c r="H32" s="17">
        <v>1894</v>
      </c>
      <c r="I32" s="17">
        <v>1700</v>
      </c>
      <c r="J32" s="17">
        <v>1908</v>
      </c>
      <c r="L32" s="16" t="s">
        <v>126</v>
      </c>
      <c r="M32" s="17">
        <v>13</v>
      </c>
      <c r="N32" s="17">
        <v>35</v>
      </c>
      <c r="O32" s="17">
        <v>8</v>
      </c>
    </row>
    <row r="33" spans="1:15" x14ac:dyDescent="0.25">
      <c r="A33" s="16" t="s">
        <v>87</v>
      </c>
      <c r="B33" s="17">
        <v>1965</v>
      </c>
      <c r="C33" s="17">
        <v>1826</v>
      </c>
      <c r="D33" s="17">
        <v>1795</v>
      </c>
      <c r="G33" s="16" t="s">
        <v>113</v>
      </c>
      <c r="H33" s="17">
        <v>33</v>
      </c>
      <c r="I33" s="17">
        <v>30</v>
      </c>
      <c r="J33" s="17">
        <v>64</v>
      </c>
    </row>
    <row r="34" spans="1:15" x14ac:dyDescent="0.25">
      <c r="A34" s="16" t="s">
        <v>88</v>
      </c>
      <c r="B34" s="17">
        <v>6384</v>
      </c>
      <c r="C34" s="17">
        <v>5820</v>
      </c>
      <c r="D34" s="17">
        <v>3719</v>
      </c>
      <c r="G34" s="16" t="s">
        <v>114</v>
      </c>
      <c r="H34" s="17">
        <v>0</v>
      </c>
      <c r="I34" s="17">
        <v>47</v>
      </c>
      <c r="J34" s="17">
        <v>12</v>
      </c>
      <c r="L34" s="18" t="s">
        <v>16</v>
      </c>
      <c r="M34" s="19">
        <f>SUM(M26,H45)</f>
        <v>53527</v>
      </c>
      <c r="N34" s="19">
        <f>SUM(N26,I45)</f>
        <v>50446</v>
      </c>
      <c r="O34" s="19">
        <f>SUM(O26,J45)</f>
        <v>47673</v>
      </c>
    </row>
    <row r="35" spans="1:15" x14ac:dyDescent="0.25">
      <c r="A35" s="16" t="s">
        <v>89</v>
      </c>
      <c r="B35" s="17">
        <v>0</v>
      </c>
      <c r="C35" s="17">
        <v>6</v>
      </c>
      <c r="D35" s="17">
        <v>31</v>
      </c>
    </row>
    <row r="37" spans="1:15" x14ac:dyDescent="0.25">
      <c r="A37" s="14" t="s">
        <v>90</v>
      </c>
      <c r="B37" s="15">
        <v>24382</v>
      </c>
      <c r="C37" s="15">
        <v>22138</v>
      </c>
      <c r="D37" s="15">
        <v>20251</v>
      </c>
      <c r="G37" s="14" t="s">
        <v>115</v>
      </c>
      <c r="H37" s="15">
        <v>16128</v>
      </c>
      <c r="I37" s="15">
        <v>15211</v>
      </c>
      <c r="J37" s="15">
        <v>14033</v>
      </c>
    </row>
    <row r="38" spans="1:15" x14ac:dyDescent="0.25">
      <c r="A38" s="16" t="s">
        <v>91</v>
      </c>
      <c r="B38" s="17">
        <v>8941</v>
      </c>
      <c r="C38" s="17">
        <v>8554</v>
      </c>
      <c r="D38" s="17">
        <v>7473</v>
      </c>
      <c r="G38" s="16" t="s">
        <v>116</v>
      </c>
      <c r="H38" s="17">
        <v>4074</v>
      </c>
      <c r="I38" s="17">
        <v>4315</v>
      </c>
      <c r="J38" s="17">
        <v>3668</v>
      </c>
    </row>
    <row r="39" spans="1:15" x14ac:dyDescent="0.25">
      <c r="A39" s="16" t="s">
        <v>92</v>
      </c>
      <c r="B39" s="17">
        <v>10048</v>
      </c>
      <c r="C39" s="17">
        <v>9394</v>
      </c>
      <c r="D39" s="17">
        <v>8924</v>
      </c>
      <c r="G39" s="16" t="s">
        <v>108</v>
      </c>
      <c r="H39" s="17">
        <v>1385</v>
      </c>
      <c r="I39" s="17">
        <v>1200</v>
      </c>
      <c r="J39" s="17">
        <v>1138</v>
      </c>
    </row>
    <row r="40" spans="1:15" x14ac:dyDescent="0.25">
      <c r="A40" s="16" t="s">
        <v>93</v>
      </c>
      <c r="B40" s="17">
        <v>5393</v>
      </c>
      <c r="C40" s="17">
        <v>4190</v>
      </c>
      <c r="D40" s="17">
        <v>3854</v>
      </c>
      <c r="G40" s="16" t="s">
        <v>117</v>
      </c>
      <c r="H40" s="17">
        <v>2114</v>
      </c>
      <c r="I40" s="17">
        <v>1900</v>
      </c>
      <c r="J40" s="17">
        <v>1605</v>
      </c>
    </row>
    <row r="41" spans="1:15" x14ac:dyDescent="0.25">
      <c r="G41" s="16" t="s">
        <v>109</v>
      </c>
      <c r="H41" s="17">
        <v>7160</v>
      </c>
      <c r="I41" s="17">
        <v>6537</v>
      </c>
      <c r="J41" s="17">
        <v>6016</v>
      </c>
    </row>
    <row r="42" spans="1:15" x14ac:dyDescent="0.25">
      <c r="A42" s="14" t="s">
        <v>99</v>
      </c>
      <c r="B42" s="15">
        <v>8857</v>
      </c>
      <c r="C42" s="15">
        <v>8269</v>
      </c>
      <c r="D42" s="15">
        <v>7236</v>
      </c>
      <c r="G42" s="16" t="s">
        <v>118</v>
      </c>
      <c r="H42" s="17">
        <v>477</v>
      </c>
      <c r="I42" s="17">
        <v>450</v>
      </c>
      <c r="J42" s="17">
        <v>872</v>
      </c>
    </row>
    <row r="43" spans="1:15" x14ac:dyDescent="0.25">
      <c r="A43" s="16" t="s">
        <v>100</v>
      </c>
      <c r="B43" s="17">
        <v>627</v>
      </c>
      <c r="C43" s="17">
        <v>651</v>
      </c>
      <c r="D43" s="17">
        <v>623</v>
      </c>
      <c r="G43" s="16" t="s">
        <v>119</v>
      </c>
      <c r="H43" s="17">
        <v>919</v>
      </c>
      <c r="I43" s="17">
        <v>809</v>
      </c>
      <c r="J43" s="17">
        <v>734</v>
      </c>
    </row>
    <row r="44" spans="1:15" x14ac:dyDescent="0.25">
      <c r="A44" s="16" t="s">
        <v>101</v>
      </c>
      <c r="B44" s="17">
        <v>892</v>
      </c>
      <c r="C44" s="17">
        <v>814</v>
      </c>
      <c r="D44" s="17">
        <v>636</v>
      </c>
    </row>
    <row r="45" spans="1:15" x14ac:dyDescent="0.25">
      <c r="A45" s="16" t="s">
        <v>102</v>
      </c>
      <c r="B45" s="17">
        <v>5078</v>
      </c>
      <c r="C45" s="17">
        <v>4676</v>
      </c>
      <c r="D45" s="17">
        <v>4382</v>
      </c>
      <c r="G45" s="18" t="s">
        <v>14</v>
      </c>
      <c r="H45" s="19">
        <f>SUM(H37,H26)</f>
        <v>30471</v>
      </c>
      <c r="I45" s="19">
        <f t="shared" ref="I45:J45" si="0">SUM(I37,I26)</f>
        <v>28778</v>
      </c>
      <c r="J45" s="19">
        <f t="shared" si="0"/>
        <v>30646</v>
      </c>
    </row>
    <row r="46" spans="1:15" x14ac:dyDescent="0.25">
      <c r="A46" s="16" t="s">
        <v>103</v>
      </c>
      <c r="B46" s="17">
        <v>1496</v>
      </c>
      <c r="C46" s="17">
        <v>1422</v>
      </c>
      <c r="D46" s="17">
        <v>753</v>
      </c>
    </row>
    <row r="47" spans="1:15" x14ac:dyDescent="0.25">
      <c r="A47" s="16" t="s">
        <v>104</v>
      </c>
      <c r="B47" s="17">
        <v>66</v>
      </c>
      <c r="C47" s="17">
        <v>78</v>
      </c>
      <c r="D47" s="17">
        <v>100</v>
      </c>
    </row>
    <row r="48" spans="1:15" x14ac:dyDescent="0.25">
      <c r="A48" s="16" t="s">
        <v>105</v>
      </c>
      <c r="B48" s="17">
        <v>698</v>
      </c>
      <c r="C48" s="17">
        <v>627</v>
      </c>
      <c r="D48" s="17">
        <v>742</v>
      </c>
    </row>
    <row r="50" spans="1:4" x14ac:dyDescent="0.25">
      <c r="A50" s="18" t="s">
        <v>10</v>
      </c>
      <c r="B50" s="19">
        <f>SUM(B42,B37,B26)</f>
        <v>53527</v>
      </c>
      <c r="C50" s="19">
        <f>SUM(C42,C37,C26)</f>
        <v>50447</v>
      </c>
      <c r="D50" s="19">
        <f>SUM(D42,D37,D26)</f>
        <v>47673</v>
      </c>
    </row>
  </sheetData>
  <mergeCells count="2">
    <mergeCell ref="A1:D1"/>
    <mergeCell ref="A2:D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>
      <selection activeCell="I15" sqref="I15"/>
    </sheetView>
  </sheetViews>
  <sheetFormatPr baseColWidth="10" defaultColWidth="8.7109375" defaultRowHeight="15" x14ac:dyDescent="0.25"/>
  <cols>
    <col min="1" max="1" width="50" customWidth="1"/>
    <col min="2" max="4" width="15" customWidth="1"/>
  </cols>
  <sheetData>
    <row r="1" spans="1:4" ht="18.75" x14ac:dyDescent="0.3">
      <c r="A1" s="23" t="s">
        <v>17</v>
      </c>
      <c r="B1" s="24"/>
      <c r="C1" s="24"/>
      <c r="D1" s="24"/>
    </row>
    <row r="2" spans="1:4" x14ac:dyDescent="0.25">
      <c r="A2" s="25" t="s">
        <v>1</v>
      </c>
      <c r="B2" s="24"/>
      <c r="C2" s="24"/>
      <c r="D2" s="24"/>
    </row>
    <row r="4" spans="1:4" x14ac:dyDescent="0.25">
      <c r="A4" s="1" t="s">
        <v>2</v>
      </c>
      <c r="B4" s="1" t="s">
        <v>18</v>
      </c>
      <c r="C4" s="1" t="s">
        <v>19</v>
      </c>
      <c r="D4" s="1" t="s">
        <v>20</v>
      </c>
    </row>
    <row r="5" spans="1:4" x14ac:dyDescent="0.25">
      <c r="A5" s="3" t="s">
        <v>21</v>
      </c>
      <c r="B5" s="4">
        <v>40083</v>
      </c>
      <c r="C5" s="4">
        <v>40530</v>
      </c>
      <c r="D5" s="4">
        <v>37637</v>
      </c>
    </row>
    <row r="6" spans="1:4" x14ac:dyDescent="0.25">
      <c r="A6" s="3" t="s">
        <v>22</v>
      </c>
      <c r="B6" s="4">
        <v>-29756</v>
      </c>
      <c r="C6" s="4">
        <v>-28924</v>
      </c>
      <c r="D6" s="4">
        <v>-27089</v>
      </c>
    </row>
    <row r="7" spans="1:4" x14ac:dyDescent="0.25">
      <c r="A7" s="5" t="s">
        <v>23</v>
      </c>
      <c r="B7" s="6">
        <v>10327</v>
      </c>
      <c r="C7" s="6">
        <v>11606</v>
      </c>
      <c r="D7" s="6">
        <v>10548</v>
      </c>
    </row>
    <row r="8" spans="1:4" x14ac:dyDescent="0.25">
      <c r="A8" s="3"/>
      <c r="B8" s="3"/>
      <c r="C8" s="3"/>
      <c r="D8" s="3"/>
    </row>
    <row r="9" spans="1:4" x14ac:dyDescent="0.25">
      <c r="A9" s="3" t="s">
        <v>24</v>
      </c>
      <c r="B9" s="4">
        <v>-3099</v>
      </c>
      <c r="C9" s="4">
        <v>-2869</v>
      </c>
      <c r="D9" s="4">
        <v>-2353</v>
      </c>
    </row>
    <row r="10" spans="1:4" x14ac:dyDescent="0.25">
      <c r="A10" s="3" t="s">
        <v>25</v>
      </c>
      <c r="B10" s="4">
        <v>-1859</v>
      </c>
      <c r="C10" s="4">
        <v>-1787</v>
      </c>
      <c r="D10" s="4">
        <v>-1655</v>
      </c>
    </row>
    <row r="11" spans="1:4" x14ac:dyDescent="0.25">
      <c r="A11" s="3" t="s">
        <v>26</v>
      </c>
      <c r="B11" s="4">
        <v>1375</v>
      </c>
      <c r="C11" s="4">
        <v>1496</v>
      </c>
      <c r="D11" s="4">
        <v>1894</v>
      </c>
    </row>
    <row r="12" spans="1:4" x14ac:dyDescent="0.25">
      <c r="A12" s="3" t="s">
        <v>27</v>
      </c>
      <c r="B12" s="4">
        <v>-1107</v>
      </c>
      <c r="C12" s="4">
        <v>-1162</v>
      </c>
      <c r="D12" s="4">
        <v>-1662</v>
      </c>
    </row>
    <row r="13" spans="1:4" x14ac:dyDescent="0.25">
      <c r="A13" s="5" t="s">
        <v>28</v>
      </c>
      <c r="B13" s="6">
        <v>5637</v>
      </c>
      <c r="C13" s="6">
        <v>7284</v>
      </c>
      <c r="D13" s="6">
        <v>6772</v>
      </c>
    </row>
    <row r="14" spans="1:4" x14ac:dyDescent="0.25">
      <c r="A14" s="3"/>
      <c r="B14" s="3"/>
      <c r="C14" s="3"/>
      <c r="D14" s="3"/>
    </row>
    <row r="15" spans="1:4" x14ac:dyDescent="0.25">
      <c r="A15" s="7" t="s">
        <v>29</v>
      </c>
      <c r="B15" s="3"/>
      <c r="C15" s="3"/>
      <c r="D15" s="3"/>
    </row>
    <row r="16" spans="1:4" x14ac:dyDescent="0.25">
      <c r="A16" s="3" t="s">
        <v>30</v>
      </c>
      <c r="B16" s="4">
        <v>-155</v>
      </c>
      <c r="C16" s="4">
        <v>9</v>
      </c>
      <c r="D16" s="4">
        <v>-7</v>
      </c>
    </row>
    <row r="17" spans="1:4" x14ac:dyDescent="0.25">
      <c r="A17" s="3" t="s">
        <v>31</v>
      </c>
      <c r="B17" s="4">
        <v>278</v>
      </c>
      <c r="C17" s="4">
        <v>264</v>
      </c>
      <c r="D17" s="4">
        <v>461</v>
      </c>
    </row>
    <row r="18" spans="1:4" x14ac:dyDescent="0.25">
      <c r="A18" s="3" t="s">
        <v>32</v>
      </c>
      <c r="B18" s="4">
        <v>-223</v>
      </c>
      <c r="C18" s="4">
        <v>-184</v>
      </c>
      <c r="D18" s="4">
        <v>-105</v>
      </c>
    </row>
    <row r="19" spans="1:4" x14ac:dyDescent="0.25">
      <c r="A19" s="3" t="s">
        <v>33</v>
      </c>
      <c r="B19" s="4">
        <v>-309</v>
      </c>
      <c r="C19" s="4">
        <v>19</v>
      </c>
      <c r="D19" s="4">
        <v>-40</v>
      </c>
    </row>
    <row r="20" spans="1:4" x14ac:dyDescent="0.25">
      <c r="A20" s="3" t="s">
        <v>34</v>
      </c>
      <c r="B20" s="4">
        <v>-409</v>
      </c>
      <c r="C20" s="4">
        <v>108</v>
      </c>
      <c r="D20" s="4">
        <v>309</v>
      </c>
    </row>
    <row r="21" spans="1:4" x14ac:dyDescent="0.25">
      <c r="A21" s="3"/>
      <c r="B21" s="3"/>
      <c r="C21" s="3"/>
      <c r="D21" s="3"/>
    </row>
    <row r="22" spans="1:4" x14ac:dyDescent="0.25">
      <c r="A22" s="5" t="s">
        <v>35</v>
      </c>
      <c r="B22" s="6">
        <v>5228</v>
      </c>
      <c r="C22" s="6">
        <v>7392</v>
      </c>
      <c r="D22" s="6">
        <v>7081</v>
      </c>
    </row>
    <row r="23" spans="1:4" x14ac:dyDescent="0.25">
      <c r="A23" s="3" t="s">
        <v>36</v>
      </c>
      <c r="B23" s="4">
        <v>-1632</v>
      </c>
      <c r="C23" s="4">
        <v>-2218</v>
      </c>
      <c r="D23" s="4">
        <v>-2114</v>
      </c>
    </row>
    <row r="24" spans="1:4" x14ac:dyDescent="0.25">
      <c r="A24" s="5" t="s">
        <v>37</v>
      </c>
      <c r="B24" s="6">
        <v>3596</v>
      </c>
      <c r="C24" s="6">
        <v>5174</v>
      </c>
      <c r="D24" s="6">
        <v>4967</v>
      </c>
    </row>
    <row r="25" spans="1:4" x14ac:dyDescent="0.25">
      <c r="A25" s="3"/>
      <c r="B25" s="3"/>
      <c r="C25" s="3"/>
      <c r="D25" s="3"/>
    </row>
    <row r="26" spans="1:4" x14ac:dyDescent="0.25">
      <c r="A26" s="3" t="s">
        <v>38</v>
      </c>
      <c r="B26" s="3"/>
      <c r="C26" s="3"/>
      <c r="D26" s="3"/>
    </row>
    <row r="27" spans="1:4" x14ac:dyDescent="0.25">
      <c r="A27" s="8" t="s">
        <v>39</v>
      </c>
      <c r="B27" s="4">
        <v>3592</v>
      </c>
      <c r="C27" s="4">
        <v>5157</v>
      </c>
      <c r="D27" s="4">
        <v>4960</v>
      </c>
    </row>
    <row r="28" spans="1:4" x14ac:dyDescent="0.25">
      <c r="A28" s="8" t="s">
        <v>40</v>
      </c>
      <c r="B28" s="4">
        <v>3</v>
      </c>
      <c r="C28" s="3">
        <v>0</v>
      </c>
      <c r="D28" s="4">
        <v>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sqref="A1:C1"/>
    </sheetView>
  </sheetViews>
  <sheetFormatPr baseColWidth="10" defaultColWidth="8.7109375" defaultRowHeight="15" x14ac:dyDescent="0.25"/>
  <cols>
    <col min="1" max="1" width="35" customWidth="1"/>
    <col min="2" max="3" width="22" customWidth="1"/>
  </cols>
  <sheetData>
    <row r="1" spans="1:3" ht="18.75" x14ac:dyDescent="0.3">
      <c r="A1" s="23" t="s">
        <v>41</v>
      </c>
      <c r="B1" s="24"/>
      <c r="C1" s="24"/>
    </row>
    <row r="2" spans="1:3" x14ac:dyDescent="0.25">
      <c r="A2" s="25" t="s">
        <v>42</v>
      </c>
      <c r="B2" s="24"/>
      <c r="C2" s="24"/>
    </row>
    <row r="4" spans="1:3" ht="15.75" x14ac:dyDescent="0.25">
      <c r="A4" s="26" t="s">
        <v>43</v>
      </c>
      <c r="B4" s="24"/>
      <c r="C4" s="24"/>
    </row>
    <row r="5" spans="1:3" x14ac:dyDescent="0.25">
      <c r="A5" s="1" t="s">
        <v>2</v>
      </c>
      <c r="B5" s="1" t="s">
        <v>44</v>
      </c>
      <c r="C5" s="1" t="s">
        <v>45</v>
      </c>
    </row>
    <row r="6" spans="1:3" x14ac:dyDescent="0.25">
      <c r="A6" s="9" t="s">
        <v>7</v>
      </c>
      <c r="B6" s="10">
        <v>-6.0000000000000001E-3</v>
      </c>
      <c r="C6" s="10">
        <v>1.2E-2</v>
      </c>
    </row>
    <row r="7" spans="1:3" x14ac:dyDescent="0.25">
      <c r="A7" s="9" t="s">
        <v>8</v>
      </c>
      <c r="B7" s="10">
        <v>9.2999999999999999E-2</v>
      </c>
      <c r="C7" s="10">
        <v>0.10199999999999999</v>
      </c>
    </row>
    <row r="8" spans="1:3" x14ac:dyDescent="0.25">
      <c r="A8" s="9" t="s">
        <v>9</v>
      </c>
      <c r="B8" s="10">
        <v>0.14199999999999999</v>
      </c>
      <c r="C8" s="10">
        <v>7.0999999999999994E-2</v>
      </c>
    </row>
    <row r="9" spans="1:3" x14ac:dyDescent="0.25">
      <c r="A9" s="9" t="s">
        <v>46</v>
      </c>
      <c r="B9" s="10">
        <v>5.8999999999999997E-2</v>
      </c>
      <c r="C9" s="10">
        <v>6.0999999999999999E-2</v>
      </c>
    </row>
    <row r="10" spans="1:3" x14ac:dyDescent="0.25">
      <c r="A10" s="9" t="s">
        <v>12</v>
      </c>
      <c r="B10" s="10">
        <v>-0.182</v>
      </c>
      <c r="C10" s="10">
        <v>5.7000000000000002E-2</v>
      </c>
    </row>
    <row r="11" spans="1:3" x14ac:dyDescent="0.25">
      <c r="A11" s="9" t="s">
        <v>13</v>
      </c>
      <c r="B11" s="10">
        <v>8.5000000000000006E-2</v>
      </c>
      <c r="C11" s="10">
        <v>0.06</v>
      </c>
    </row>
    <row r="12" spans="1:3" x14ac:dyDescent="0.25">
      <c r="A12" s="9" t="s">
        <v>15</v>
      </c>
      <c r="B12" s="10">
        <v>0.27200000000000002</v>
      </c>
      <c r="C12" s="10">
        <v>6.4000000000000001E-2</v>
      </c>
    </row>
    <row r="15" spans="1:3" ht="15.75" x14ac:dyDescent="0.25">
      <c r="A15" s="26" t="s">
        <v>47</v>
      </c>
      <c r="B15" s="24"/>
      <c r="C15" s="24"/>
    </row>
    <row r="16" spans="1:3" x14ac:dyDescent="0.25">
      <c r="A16" s="1" t="s">
        <v>2</v>
      </c>
      <c r="B16" s="1" t="s">
        <v>44</v>
      </c>
      <c r="C16" s="1" t="s">
        <v>45</v>
      </c>
    </row>
    <row r="17" spans="1:3" x14ac:dyDescent="0.25">
      <c r="A17" s="9" t="s">
        <v>21</v>
      </c>
      <c r="B17" s="10">
        <v>7.6999999999999999E-2</v>
      </c>
      <c r="C17" s="10">
        <v>-1.0999999999999999E-2</v>
      </c>
    </row>
    <row r="18" spans="1:3" x14ac:dyDescent="0.25">
      <c r="A18" s="9" t="s">
        <v>48</v>
      </c>
      <c r="B18" s="10">
        <v>0.1</v>
      </c>
      <c r="C18" s="10">
        <v>-0.11</v>
      </c>
    </row>
    <row r="19" spans="1:3" x14ac:dyDescent="0.25">
      <c r="A19" s="9" t="s">
        <v>26</v>
      </c>
      <c r="B19" s="10">
        <v>-0.21</v>
      </c>
      <c r="C19" s="10">
        <v>-8.1000000000000003E-2</v>
      </c>
    </row>
    <row r="20" spans="1:3" x14ac:dyDescent="0.25">
      <c r="A20" s="9" t="s">
        <v>27</v>
      </c>
      <c r="B20" s="10">
        <v>-0.3</v>
      </c>
      <c r="C20" s="10">
        <v>-4.7E-2</v>
      </c>
    </row>
    <row r="21" spans="1:3" x14ac:dyDescent="0.25">
      <c r="A21" s="9" t="s">
        <v>49</v>
      </c>
      <c r="B21" s="10">
        <v>7.4999999999999997E-2</v>
      </c>
      <c r="C21" s="10">
        <v>-0.22600000000000001</v>
      </c>
    </row>
    <row r="22" spans="1:3" x14ac:dyDescent="0.25">
      <c r="A22" s="9" t="s">
        <v>50</v>
      </c>
      <c r="B22" s="10">
        <v>2.286</v>
      </c>
      <c r="C22" s="10">
        <v>-18.222000000000001</v>
      </c>
    </row>
    <row r="23" spans="1:3" x14ac:dyDescent="0.25">
      <c r="A23" s="9" t="s">
        <v>51</v>
      </c>
      <c r="B23" s="10">
        <v>-0.70499999999999996</v>
      </c>
      <c r="C23" s="10">
        <v>-5.4950000000000001</v>
      </c>
    </row>
    <row r="24" spans="1:3" x14ac:dyDescent="0.25">
      <c r="A24" s="9" t="s">
        <v>52</v>
      </c>
      <c r="B24" s="10">
        <v>3.7999999999999999E-2</v>
      </c>
      <c r="C24" s="10">
        <v>-0.30299999999999999</v>
      </c>
    </row>
  </sheetData>
  <mergeCells count="4">
    <mergeCell ref="A1:C1"/>
    <mergeCell ref="A4:C4"/>
    <mergeCell ref="A2:C2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>
      <selection sqref="A1:D1"/>
    </sheetView>
  </sheetViews>
  <sheetFormatPr baseColWidth="10" defaultColWidth="8.7109375" defaultRowHeight="15" x14ac:dyDescent="0.25"/>
  <cols>
    <col min="1" max="1" width="45" customWidth="1"/>
    <col min="2" max="4" width="12" customWidth="1"/>
  </cols>
  <sheetData>
    <row r="1" spans="1:4" ht="18.75" x14ac:dyDescent="0.3">
      <c r="A1" s="23" t="s">
        <v>53</v>
      </c>
      <c r="B1" s="24"/>
      <c r="C1" s="24"/>
      <c r="D1" s="24"/>
    </row>
    <row r="2" spans="1:4" x14ac:dyDescent="0.25">
      <c r="A2" s="25" t="s">
        <v>54</v>
      </c>
      <c r="B2" s="24"/>
      <c r="C2" s="24"/>
      <c r="D2" s="24"/>
    </row>
    <row r="4" spans="1:4" ht="15.75" x14ac:dyDescent="0.25">
      <c r="A4" s="26" t="s">
        <v>55</v>
      </c>
      <c r="B4" s="24"/>
      <c r="C4" s="24"/>
      <c r="D4" s="24"/>
    </row>
    <row r="5" spans="1:4" x14ac:dyDescent="0.25">
      <c r="A5" s="1" t="s">
        <v>2</v>
      </c>
      <c r="B5" s="1" t="s">
        <v>56</v>
      </c>
      <c r="C5" s="1" t="s">
        <v>57</v>
      </c>
      <c r="D5" s="1" t="s">
        <v>58</v>
      </c>
    </row>
    <row r="6" spans="1:4" x14ac:dyDescent="0.25">
      <c r="A6" s="9" t="s">
        <v>7</v>
      </c>
      <c r="B6" s="10">
        <v>0.379</v>
      </c>
      <c r="C6" s="10">
        <v>0.39700000000000002</v>
      </c>
      <c r="D6" s="10">
        <v>0.42299999999999999</v>
      </c>
    </row>
    <row r="7" spans="1:4" x14ac:dyDescent="0.25">
      <c r="A7" s="9" t="s">
        <v>8</v>
      </c>
      <c r="B7" s="10">
        <v>0.45500000000000002</v>
      </c>
      <c r="C7" s="10">
        <v>0.439</v>
      </c>
      <c r="D7" s="10">
        <v>0.42499999999999999</v>
      </c>
    </row>
    <row r="8" spans="1:4" x14ac:dyDescent="0.25">
      <c r="A8" s="9" t="s">
        <v>9</v>
      </c>
      <c r="B8" s="10">
        <v>0.16500000000000001</v>
      </c>
      <c r="C8" s="10">
        <v>0.16400000000000001</v>
      </c>
      <c r="D8" s="10">
        <v>0.152</v>
      </c>
    </row>
    <row r="9" spans="1:4" x14ac:dyDescent="0.25">
      <c r="A9" s="3"/>
      <c r="B9" s="3"/>
      <c r="C9" s="3"/>
      <c r="D9" s="3"/>
    </row>
    <row r="10" spans="1:4" x14ac:dyDescent="0.25">
      <c r="A10" s="9" t="s">
        <v>12</v>
      </c>
      <c r="B10" s="10">
        <v>0.26800000000000002</v>
      </c>
      <c r="C10" s="10">
        <v>0.26900000000000002</v>
      </c>
      <c r="D10" s="10">
        <v>0.34799999999999998</v>
      </c>
    </row>
    <row r="11" spans="1:4" x14ac:dyDescent="0.25">
      <c r="A11" s="9" t="s">
        <v>13</v>
      </c>
      <c r="B11" s="10">
        <v>0.30099999999999999</v>
      </c>
      <c r="C11" s="10">
        <v>0.30199999999999999</v>
      </c>
      <c r="D11" s="10">
        <v>0.29399999999999998</v>
      </c>
    </row>
    <row r="12" spans="1:4" x14ac:dyDescent="0.25">
      <c r="A12" s="9" t="s">
        <v>15</v>
      </c>
      <c r="B12" s="10">
        <v>0.43099999999999999</v>
      </c>
      <c r="C12" s="10">
        <v>0.43</v>
      </c>
      <c r="D12" s="10">
        <v>0.35799999999999998</v>
      </c>
    </row>
    <row r="15" spans="1:4" ht="15.75" x14ac:dyDescent="0.25">
      <c r="A15" s="26" t="s">
        <v>59</v>
      </c>
      <c r="B15" s="24"/>
      <c r="C15" s="24"/>
      <c r="D15" s="24"/>
    </row>
    <row r="16" spans="1:4" x14ac:dyDescent="0.25">
      <c r="A16" s="1" t="s">
        <v>2</v>
      </c>
      <c r="B16" s="1" t="s">
        <v>56</v>
      </c>
      <c r="C16" s="1" t="s">
        <v>57</v>
      </c>
      <c r="D16" s="1" t="s">
        <v>58</v>
      </c>
    </row>
    <row r="17" spans="1:4" x14ac:dyDescent="0.25">
      <c r="A17" s="9" t="s">
        <v>48</v>
      </c>
      <c r="B17" s="10">
        <v>0.25800000000000001</v>
      </c>
      <c r="C17" s="10">
        <v>0.28599999999999998</v>
      </c>
      <c r="D17" s="10">
        <v>0.28000000000000003</v>
      </c>
    </row>
    <row r="18" spans="1:4" x14ac:dyDescent="0.25">
      <c r="A18" s="9" t="s">
        <v>26</v>
      </c>
      <c r="B18" s="10">
        <v>3.4000000000000002E-2</v>
      </c>
      <c r="C18" s="10">
        <v>3.6999999999999998E-2</v>
      </c>
      <c r="D18" s="10">
        <v>0.05</v>
      </c>
    </row>
    <row r="19" spans="1:4" x14ac:dyDescent="0.25">
      <c r="A19" s="9" t="s">
        <v>27</v>
      </c>
      <c r="B19" s="10">
        <v>-2.8000000000000001E-2</v>
      </c>
      <c r="C19" s="10">
        <v>-2.9000000000000001E-2</v>
      </c>
      <c r="D19" s="10">
        <v>-4.3999999999999997E-2</v>
      </c>
    </row>
    <row r="20" spans="1:4" x14ac:dyDescent="0.25">
      <c r="A20" s="9" t="s">
        <v>49</v>
      </c>
      <c r="B20" s="10">
        <v>0.14099999999999999</v>
      </c>
      <c r="C20" s="10">
        <v>0.18</v>
      </c>
      <c r="D20" s="10">
        <v>0.18</v>
      </c>
    </row>
    <row r="21" spans="1:4" x14ac:dyDescent="0.25">
      <c r="A21" s="9" t="s">
        <v>51</v>
      </c>
      <c r="B21" s="10">
        <v>-0.01</v>
      </c>
      <c r="C21" s="10">
        <v>2E-3</v>
      </c>
      <c r="D21" s="10">
        <v>8.0000000000000002E-3</v>
      </c>
    </row>
    <row r="22" spans="1:4" x14ac:dyDescent="0.25">
      <c r="A22" s="9" t="s">
        <v>52</v>
      </c>
      <c r="B22" s="10">
        <v>0.09</v>
      </c>
      <c r="C22" s="10">
        <v>0.127</v>
      </c>
      <c r="D22" s="10">
        <v>0.13200000000000001</v>
      </c>
    </row>
  </sheetData>
  <mergeCells count="4">
    <mergeCell ref="A1:D1"/>
    <mergeCell ref="A4:D4"/>
    <mergeCell ref="A2:D2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selection sqref="A1:E1"/>
    </sheetView>
  </sheetViews>
  <sheetFormatPr baseColWidth="10" defaultColWidth="8.7109375" defaultRowHeight="15" x14ac:dyDescent="0.25"/>
  <cols>
    <col min="1" max="1" width="35" customWidth="1"/>
    <col min="2" max="2" width="45" customWidth="1"/>
    <col min="3" max="5" width="12" customWidth="1"/>
  </cols>
  <sheetData>
    <row r="1" spans="1:5" ht="18.75" x14ac:dyDescent="0.3">
      <c r="A1" s="23" t="s">
        <v>60</v>
      </c>
      <c r="B1" s="24"/>
      <c r="C1" s="24"/>
      <c r="D1" s="24"/>
      <c r="E1" s="24"/>
    </row>
    <row r="2" spans="1:5" x14ac:dyDescent="0.25">
      <c r="A2" s="25" t="s">
        <v>61</v>
      </c>
      <c r="B2" s="24"/>
      <c r="C2" s="24"/>
      <c r="D2" s="24"/>
      <c r="E2" s="24"/>
    </row>
    <row r="4" spans="1:5" x14ac:dyDescent="0.25">
      <c r="A4" s="1" t="s">
        <v>62</v>
      </c>
      <c r="B4" s="1" t="s">
        <v>63</v>
      </c>
      <c r="C4" s="1" t="s">
        <v>18</v>
      </c>
      <c r="D4" s="1" t="s">
        <v>19</v>
      </c>
      <c r="E4" s="1" t="s">
        <v>20</v>
      </c>
    </row>
    <row r="5" spans="1:5" x14ac:dyDescent="0.25">
      <c r="A5" s="27" t="s">
        <v>64</v>
      </c>
      <c r="B5" s="24"/>
      <c r="C5" s="24"/>
      <c r="D5" s="24"/>
      <c r="E5" s="24"/>
    </row>
    <row r="6" spans="1:5" x14ac:dyDescent="0.25">
      <c r="A6" s="3" t="s">
        <v>65</v>
      </c>
      <c r="B6" s="3" t="s">
        <v>66</v>
      </c>
      <c r="C6" s="11">
        <v>1.41</v>
      </c>
      <c r="D6" s="11">
        <v>1.48</v>
      </c>
      <c r="E6" s="11">
        <v>1.22</v>
      </c>
    </row>
    <row r="7" spans="1:5" x14ac:dyDescent="0.25">
      <c r="A7" s="3" t="s">
        <v>67</v>
      </c>
      <c r="B7" s="3" t="s">
        <v>68</v>
      </c>
      <c r="C7" s="11">
        <v>0.99</v>
      </c>
      <c r="D7" s="11">
        <v>1.04</v>
      </c>
      <c r="E7" s="11">
        <v>0.88</v>
      </c>
    </row>
    <row r="8" spans="1:5" x14ac:dyDescent="0.25">
      <c r="A8" s="3"/>
      <c r="B8" s="3"/>
      <c r="C8" s="3"/>
      <c r="D8" s="3"/>
      <c r="E8" s="3"/>
    </row>
    <row r="9" spans="1:5" x14ac:dyDescent="0.25">
      <c r="A9" s="27" t="s">
        <v>69</v>
      </c>
      <c r="B9" s="24"/>
      <c r="C9" s="24"/>
      <c r="D9" s="24"/>
      <c r="E9" s="24"/>
    </row>
    <row r="10" spans="1:5" x14ac:dyDescent="0.25">
      <c r="A10" s="3" t="s">
        <v>70</v>
      </c>
      <c r="B10" s="3" t="s">
        <v>71</v>
      </c>
      <c r="C10" s="10">
        <v>0.25800000000000001</v>
      </c>
      <c r="D10" s="10">
        <v>0.28599999999999998</v>
      </c>
      <c r="E10" s="10">
        <v>0.28000000000000003</v>
      </c>
    </row>
    <row r="11" spans="1:5" x14ac:dyDescent="0.25">
      <c r="A11" s="3" t="s">
        <v>72</v>
      </c>
      <c r="B11" s="3" t="s">
        <v>73</v>
      </c>
      <c r="C11" s="10">
        <v>0.14099999999999999</v>
      </c>
      <c r="D11" s="10">
        <v>0.18</v>
      </c>
      <c r="E11" s="10">
        <v>0.18</v>
      </c>
    </row>
    <row r="12" spans="1:5" x14ac:dyDescent="0.25">
      <c r="A12" s="3" t="s">
        <v>74</v>
      </c>
      <c r="B12" s="3" t="s">
        <v>75</v>
      </c>
      <c r="C12" s="10">
        <v>0.09</v>
      </c>
      <c r="D12" s="10">
        <v>0.127</v>
      </c>
      <c r="E12" s="10">
        <v>0.13200000000000001</v>
      </c>
    </row>
    <row r="13" spans="1:5" x14ac:dyDescent="0.25">
      <c r="A13" s="3" t="s">
        <v>76</v>
      </c>
      <c r="B13" s="3" t="s">
        <v>77</v>
      </c>
      <c r="C13" s="10">
        <v>6.9000000000000006E-2</v>
      </c>
      <c r="D13" s="10">
        <v>0.105</v>
      </c>
      <c r="E13" s="10">
        <v>0.107</v>
      </c>
    </row>
    <row r="14" spans="1:5" x14ac:dyDescent="0.25">
      <c r="A14" s="3" t="s">
        <v>78</v>
      </c>
      <c r="B14" s="3" t="s">
        <v>79</v>
      </c>
      <c r="C14" s="10">
        <v>0.161</v>
      </c>
      <c r="D14" s="10">
        <v>0.27</v>
      </c>
      <c r="E14" s="10">
        <v>0.253</v>
      </c>
    </row>
    <row r="15" spans="1:5" x14ac:dyDescent="0.25">
      <c r="A15" s="3"/>
      <c r="B15" s="3"/>
      <c r="C15" s="3"/>
      <c r="D15" s="3"/>
      <c r="E15" s="3"/>
    </row>
    <row r="16" spans="1:5" x14ac:dyDescent="0.25">
      <c r="A16" s="27" t="s">
        <v>80</v>
      </c>
      <c r="B16" s="24"/>
      <c r="C16" s="24"/>
      <c r="D16" s="24"/>
      <c r="E16" s="24"/>
    </row>
    <row r="17" spans="1:5" x14ac:dyDescent="0.25">
      <c r="A17" s="3" t="s">
        <v>81</v>
      </c>
      <c r="B17" s="3" t="s">
        <v>82</v>
      </c>
      <c r="C17" s="3">
        <v>1.32</v>
      </c>
      <c r="D17" s="3">
        <v>1.33</v>
      </c>
      <c r="E17" s="3">
        <v>1.8</v>
      </c>
    </row>
  </sheetData>
  <mergeCells count="5">
    <mergeCell ref="A2:E2"/>
    <mergeCell ref="A16:E16"/>
    <mergeCell ref="A1:E1"/>
    <mergeCell ref="A5:E5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Balance General</vt:lpstr>
      <vt:lpstr>Estado de Resultados</vt:lpstr>
      <vt:lpstr>Análisis Horizontal</vt:lpstr>
      <vt:lpstr>Análisis Vertical</vt:lpstr>
      <vt:lpstr>Razones Financieras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Vela Marquez Angel Istvan</cp:lastModifiedBy>
  <dcterms:created xsi:type="dcterms:W3CDTF">2025-11-03T21:20:51Z</dcterms:created>
  <dcterms:modified xsi:type="dcterms:W3CDTF">2025-11-05T06:18:05Z</dcterms:modified>
</cp:coreProperties>
</file>